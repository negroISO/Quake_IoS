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Summary" sheetId="2" state="visible" r:id="rId4"/>
  </sheets>
  <definedNames>
    <definedName function="false" hidden="true" localSheetId="0" name="_xlnm._FilterDatabase" vbProcedure="false">Backlog!$A$4:$H$14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<sst xmlns="http://schemas.openxmlformats.org/spreadsheetml/2006/main" count="94" uniqueCount="67">
  <si>
    <t xml:space="preserve">Quake3-iOS — Pending Work Backlog</t>
  </si>
  <si>
    <t xml:space="preserve">Source: CLAUDE.md (project instructions).  Generated 2026-04-19.  Native cgame live (commit 5977485); four-pass render order opaque/filter/alpha/additive.</t>
  </si>
  <si>
    <t xml:space="preserve">ID</t>
  </si>
  <si>
    <t xml:space="preserve">Priority</t>
  </si>
  <si>
    <t xml:space="preserve">Area</t>
  </si>
  <si>
    <t xml:space="preserve">Title</t>
  </si>
  <si>
    <t xml:space="preserve">Description / Next step</t>
  </si>
  <si>
    <t xml:space="preserve">Status</t>
  </si>
  <si>
    <t xml:space="preserve">Owner</t>
  </si>
  <si>
    <t xml:space="preserve">Notes</t>
  </si>
  <si>
    <t xml:space="preserve">B-01</t>
  </si>
  <si>
    <t xml:space="preserve">P1</t>
  </si>
  <si>
    <t xml:space="preserve">Shader / tcGen</t>
  </si>
  <si>
    <t xml:space="preserve">Retest goat-skull wall relief scrolling</t>
  </si>
  <si>
    <t xml:space="preserve">tcGen environment is implemented. Revisit staircase-adjacent goat-skull wall; confirm artifact gone. If not, verify metalShaderMap_t.tcGenEnv captured and ShaderMap_GetTcGenEnv returns true for the surface.</t>
  </si>
  <si>
    <t xml:space="preserve">Verify</t>
  </si>
  <si>
    <t xml:space="preserve">B-02</t>
  </si>
  <si>
    <t xml:space="preserve">Shader / tcMod</t>
  </si>
  <si>
    <t xml:space="preserve">tcMod turb — switch proxy from texCoord to worldPos</t>
  </si>
  <si>
    <t xml:space="preserve">worldPos is now piped through WorldVertexOut (655df55). If turb visually drifts, change ApplyTcMod tcMod==5 to use in.worldPos * (1.0/1024.0) instead of uv * 0.5.</t>
  </si>
  <si>
    <t xml:space="preserve">Not started</t>
  </si>
  <si>
    <t xml:space="preserve">Only touch if drift is visible</t>
  </si>
  <si>
    <t xml:space="preserve">B-03</t>
  </si>
  <si>
    <t xml:space="preserve">P2</t>
  </si>
  <si>
    <t xml:space="preserve">Shader</t>
  </si>
  <si>
    <t xml:space="preserve">rgbGen wave — pulsing flame brightness</t>
  </si>
  <si>
    <t xml:space="preserve">Implement rgbGen wave in world/entity fragment path so flame/plasma surfaces pulse correctly.</t>
  </si>
  <si>
    <t xml:space="preserve">B-04</t>
  </si>
  <si>
    <t xml:space="preserve">deformVertexes wave — flame/water surface wobble</t>
  </si>
  <si>
    <t xml:space="preserve">Add deformVertexes wave support for flame/water geometry; likely vertex-shader side.</t>
  </si>
  <si>
    <t xml:space="preserve">B-05</t>
  </si>
  <si>
    <t xml:space="preserve">Scene polys</t>
  </si>
  <si>
    <t xml:space="preserve">Scene poly visual polish</t>
  </si>
  <si>
    <t xml:space="preserve">RE_AddPolyToScene is implemented &amp; routed through entity pipelines. Remaining: confirm smoke/blood/rail decal textures resolve to alpha blend for all cgame poly shaders.</t>
  </si>
  <si>
    <t xml:space="preserve">In progress</t>
  </si>
  <si>
    <t xml:space="preserve">Audit via AuditOnce logs</t>
  </si>
  <si>
    <t xml:space="preserve">B-06</t>
  </si>
  <si>
    <t xml:space="preserve">P3</t>
  </si>
  <si>
    <t xml:space="preserve">tcMod rotate — MSL implementation</t>
  </si>
  <si>
    <t xml:space="preserve">Type is parsed by ParseShaderText but not yet rendered in ApplyTcMod. Add the rotate branch in the MSL world fragment tcMod switch.</t>
  </si>
  <si>
    <t xml:space="preserve">B-07</t>
  </si>
  <si>
    <t xml:space="preserve">P4</t>
  </si>
  <si>
    <t xml:space="preserve">Portals / RTT</t>
  </si>
  <si>
    <t xml:space="preserve">Portal RTT Phase-1 verification on q3dm1</t>
  </si>
  <si>
    <t xml:space="preserve">Phase-1 is LIVE (655df55). Verify RT_PORTALSURFACE entities actually reach RE_AddRefEntityToScene on q3dm1 teleporter via s_hasVisiblePortalEntity log. If native cgame doesn't submit it, use Q3MetalRenderer_GetPortalSmokeTest() to validate RTT pipeline independently.</t>
  </si>
  <si>
    <t xml:space="preserve">B-08</t>
  </si>
  <si>
    <t xml:space="preserve">Housekeeping</t>
  </si>
  <si>
    <t xml:space="preserve">Remove stale metal_debug_passes one-shot Cvar_Set</t>
  </si>
  <si>
    <t xml:space="preserve">Default is now "0". The one-shot Cvar_Set("metal_debug_passes", "0") in stub overwrites the stale "2" in q3config.cfg. Safe to delete after one launch on each dev device.</t>
  </si>
  <si>
    <t xml:space="preserve">Trivial cleanup</t>
  </si>
  <si>
    <t xml:space="preserve">B-09</t>
  </si>
  <si>
    <t xml:space="preserve">Remove AddWorldDrawStage AuditOnce STAGE logging</t>
  </si>
  <si>
    <t xml:space="preserve">Intentionally left in place for future diagnostics. Remove once classification is confirmed stable across the full map set.</t>
  </si>
  <si>
    <t xml:space="preserve">B-10</t>
  </si>
  <si>
    <t xml:space="preserve">Fallback cvars</t>
  </si>
  <si>
    <t xml:space="preserve">Decide fate of metal_synth_viewmodel / metal_hide_nearby / metal_fallback_camera</t>
  </si>
  <si>
    <t xml:space="preserve">All default 0 since native cgame (5977485). Retained as regression fallback. Decide whether to remove after further device soak.</t>
  </si>
  <si>
    <t xml:space="preserve">Keep until broad map coverage</t>
  </si>
  <si>
    <t xml:space="preserve">Backlog Summary</t>
  </si>
  <si>
    <t xml:space="preserve">Count</t>
  </si>
  <si>
    <t xml:space="preserve">Next up — ship-blockers or highest-value fixes</t>
  </si>
  <si>
    <t xml:space="preserve">Queued — visual polish / shader features</t>
  </si>
  <si>
    <t xml:space="preserve">Nice to have</t>
  </si>
  <si>
    <t xml:space="preserve">Verify / housekeeping</t>
  </si>
  <si>
    <t xml:space="preserve">Total</t>
  </si>
  <si>
    <t xml:space="preserve">Blocked</t>
  </si>
  <si>
    <t xml:space="preserve">Done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</si>
</sst>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4CCCC"/>
        <bgColor rgb="FFFCE5CD"/>
      </patternFill>
    </fill>
    <fill>
      <patternFill patternType="solid">
        <fgColor rgb="FFCFE2F3"/>
        <bgColor rgb="FFD9EAD3"/>
      </patternFill>
    </fill>
    <fill>
      <patternFill patternType="solid">
        <fgColor rgb="FFEAEAEA"/>
        <bgColor rgb="FFD9EAD3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AEA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EAEAE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EAEA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7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55.5" hidden="false" customHeight="true" outlineLevel="0" collapsed="false">
      <c r="A5" s="4" t="s">
        <v>10</v>
      </c>
      <c r="B5" s="5" t="s">
        <v>11</v>
      </c>
      <c r="C5" s="4" t="s">
        <v>12</v>
      </c>
      <c r="D5" s="4" t="s">
        <v>13</v>
      </c>
      <c r="E5" s="4" t="s">
        <v>14</v>
      </c>
      <c r="F5" s="6" t="s">
        <v>15</v>
      </c>
      <c r="G5" s="4"/>
      <c r="H5" s="4"/>
    </row>
    <row r="6" customFormat="false" ht="55.5" hidden="false" customHeight="true" outlineLevel="0" collapsed="false">
      <c r="A6" s="4" t="s">
        <v>16</v>
      </c>
      <c r="B6" s="5" t="s">
        <v>11</v>
      </c>
      <c r="C6" s="4" t="s">
        <v>17</v>
      </c>
      <c r="D6" s="4" t="s">
        <v>18</v>
      </c>
      <c r="E6" s="4" t="s">
        <v>19</v>
      </c>
      <c r="F6" s="7" t="s">
        <v>20</v>
      </c>
      <c r="G6" s="4"/>
      <c r="H6" s="4" t="s">
        <v>21</v>
      </c>
    </row>
    <row r="7" customFormat="false" ht="55.5" hidden="false" customHeight="true" outlineLevel="0" collapsed="false">
      <c r="A7" s="4" t="s">
        <v>22</v>
      </c>
      <c r="B7" s="8" t="s">
        <v>23</v>
      </c>
      <c r="C7" s="4" t="s">
        <v>24</v>
      </c>
      <c r="D7" s="4" t="s">
        <v>25</v>
      </c>
      <c r="E7" s="4" t="s">
        <v>26</v>
      </c>
      <c r="F7" s="7" t="s">
        <v>20</v>
      </c>
      <c r="G7" s="4"/>
      <c r="H7" s="4"/>
    </row>
    <row r="8" customFormat="false" ht="55.5" hidden="false" customHeight="true" outlineLevel="0" collapsed="false">
      <c r="A8" s="4" t="s">
        <v>27</v>
      </c>
      <c r="B8" s="8" t="s">
        <v>23</v>
      </c>
      <c r="C8" s="4" t="s">
        <v>24</v>
      </c>
      <c r="D8" s="4" t="s">
        <v>28</v>
      </c>
      <c r="E8" s="4" t="s">
        <v>29</v>
      </c>
      <c r="F8" s="7" t="s">
        <v>20</v>
      </c>
      <c r="G8" s="4"/>
      <c r="H8" s="4"/>
    </row>
    <row r="9" customFormat="false" ht="55.5" hidden="false" customHeight="true" outlineLevel="0" collapsed="false">
      <c r="A9" s="4" t="s">
        <v>30</v>
      </c>
      <c r="B9" s="8" t="s">
        <v>23</v>
      </c>
      <c r="C9" s="4" t="s">
        <v>31</v>
      </c>
      <c r="D9" s="4" t="s">
        <v>32</v>
      </c>
      <c r="E9" s="4" t="s">
        <v>33</v>
      </c>
      <c r="F9" s="9" t="s">
        <v>34</v>
      </c>
      <c r="G9" s="4"/>
      <c r="H9" s="4" t="s">
        <v>35</v>
      </c>
    </row>
    <row r="10" customFormat="false" ht="55.5" hidden="false" customHeight="true" outlineLevel="0" collapsed="false">
      <c r="A10" s="4" t="s">
        <v>36</v>
      </c>
      <c r="B10" s="10" t="s">
        <v>37</v>
      </c>
      <c r="C10" s="4" t="s">
        <v>17</v>
      </c>
      <c r="D10" s="4" t="s">
        <v>38</v>
      </c>
      <c r="E10" s="4" t="s">
        <v>39</v>
      </c>
      <c r="F10" s="7" t="s">
        <v>20</v>
      </c>
      <c r="G10" s="4"/>
      <c r="H10" s="4"/>
    </row>
    <row r="11" customFormat="false" ht="55.5" hidden="false" customHeight="true" outlineLevel="0" collapsed="false">
      <c r="A11" s="4" t="s">
        <v>40</v>
      </c>
      <c r="B11" s="11" t="s">
        <v>41</v>
      </c>
      <c r="C11" s="4" t="s">
        <v>42</v>
      </c>
      <c r="D11" s="4" t="s">
        <v>43</v>
      </c>
      <c r="E11" s="4" t="s">
        <v>44</v>
      </c>
      <c r="F11" s="6" t="s">
        <v>15</v>
      </c>
      <c r="G11" s="4"/>
      <c r="H11" s="4"/>
    </row>
    <row r="12" customFormat="false" ht="55.5" hidden="false" customHeight="true" outlineLevel="0" collapsed="false">
      <c r="A12" s="4" t="s">
        <v>45</v>
      </c>
      <c r="B12" s="11" t="s">
        <v>41</v>
      </c>
      <c r="C12" s="4" t="s">
        <v>46</v>
      </c>
      <c r="D12" s="4" t="s">
        <v>47</v>
      </c>
      <c r="E12" s="4" t="s">
        <v>48</v>
      </c>
      <c r="F12" s="7" t="s">
        <v>20</v>
      </c>
      <c r="G12" s="4"/>
      <c r="H12" s="4" t="s">
        <v>49</v>
      </c>
    </row>
    <row r="13" customFormat="false" ht="55.5" hidden="false" customHeight="true" outlineLevel="0" collapsed="false">
      <c r="A13" s="4" t="s">
        <v>50</v>
      </c>
      <c r="B13" s="11" t="s">
        <v>41</v>
      </c>
      <c r="C13" s="4" t="s">
        <v>46</v>
      </c>
      <c r="D13" s="4" t="s">
        <v>51</v>
      </c>
      <c r="E13" s="4" t="s">
        <v>52</v>
      </c>
      <c r="F13" s="7" t="s">
        <v>20</v>
      </c>
      <c r="G13" s="4"/>
      <c r="H13" s="4"/>
    </row>
    <row r="14" customFormat="false" ht="55.5" hidden="false" customHeight="true" outlineLevel="0" collapsed="false">
      <c r="A14" s="4" t="s">
        <v>53</v>
      </c>
      <c r="B14" s="11" t="s">
        <v>41</v>
      </c>
      <c r="C14" s="4" t="s">
        <v>54</v>
      </c>
      <c r="D14" s="4" t="s">
        <v>55</v>
      </c>
      <c r="E14" s="4" t="s">
        <v>56</v>
      </c>
      <c r="F14" s="7" t="s">
        <v>20</v>
      </c>
      <c r="G14" s="4"/>
      <c r="H14" s="4" t="s">
        <v>57</v>
      </c>
    </row>
  </sheetData>
  <autoFilter ref="A4:H14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2" t="s">
        <v>58</v>
      </c>
      <c r="B1" s="12"/>
      <c r="C1" s="12"/>
    </row>
    <row r="3" customFormat="false" ht="24" hidden="false" customHeight="true" outlineLevel="0" collapsed="false">
      <c r="A3" s="3" t="s">
        <v>3</v>
      </c>
      <c r="B3" s="3" t="s">
        <v>59</v>
      </c>
      <c r="C3" s="3" t="s">
        <v>9</v>
      </c>
    </row>
    <row r="4" customFormat="false" ht="15" hidden="false" customHeight="false" outlineLevel="0" collapsed="false">
      <c r="A4" s="13" t="s">
        <v>11</v>
      </c>
      <c r="B4" s="14" t="n">
        <f aca="false">COUNTIF(Backlog!B5:B14,"P1")</f>
        <v>2</v>
      </c>
      <c r="C4" s="4" t="s">
        <v>60</v>
      </c>
    </row>
    <row r="5" customFormat="false" ht="15" hidden="false" customHeight="false" outlineLevel="0" collapsed="false">
      <c r="A5" s="15" t="s">
        <v>23</v>
      </c>
      <c r="B5" s="14" t="n">
        <f aca="false">COUNTIF(Backlog!B5:B14,"P2")</f>
        <v>3</v>
      </c>
      <c r="C5" s="4" t="s">
        <v>61</v>
      </c>
    </row>
    <row r="6" customFormat="false" ht="15" hidden="false" customHeight="false" outlineLevel="0" collapsed="false">
      <c r="A6" s="16" t="s">
        <v>37</v>
      </c>
      <c r="B6" s="14" t="n">
        <f aca="false">COUNTIF(Backlog!B5:B14,"P3")</f>
        <v>1</v>
      </c>
      <c r="C6" s="4" t="s">
        <v>62</v>
      </c>
    </row>
    <row r="7" customFormat="false" ht="15" hidden="false" customHeight="false" outlineLevel="0" collapsed="false">
      <c r="A7" s="17" t="s">
        <v>41</v>
      </c>
      <c r="B7" s="14" t="n">
        <f aca="false">COUNTIF(Backlog!B5:B14,"P4")</f>
        <v>4</v>
      </c>
      <c r="C7" s="4" t="s">
        <v>63</v>
      </c>
    </row>
    <row r="8" customFormat="false" ht="15" hidden="false" customHeight="false" outlineLevel="0" collapsed="false">
      <c r="A8" s="18" t="s">
        <v>64</v>
      </c>
      <c r="B8" s="18" t="n">
        <f aca="false">SUM(B4:B7)</f>
        <v>10</v>
      </c>
      <c r="C8" s="19"/>
    </row>
    <row r="10" customFormat="false" ht="15" hidden="false" customHeight="false" outlineLevel="0" collapsed="false">
      <c r="A10" s="3" t="s">
        <v>7</v>
      </c>
      <c r="B10" s="3" t="s">
        <v>59</v>
      </c>
    </row>
    <row r="11" customFormat="false" ht="15" hidden="false" customHeight="false" outlineLevel="0" collapsed="false">
      <c r="A11" s="7" t="s">
        <v>20</v>
      </c>
      <c r="B11" s="14" t="n">
        <f aca="false">COUNTIF(Backlog!F5:F14,"Not started")</f>
        <v>7</v>
      </c>
    </row>
    <row r="12" customFormat="false" ht="15" hidden="false" customHeight="false" outlineLevel="0" collapsed="false">
      <c r="A12" s="9" t="s">
        <v>34</v>
      </c>
      <c r="B12" s="14" t="n">
        <f aca="false">COUNTIF(Backlog!F5:F14,"In progress")</f>
        <v>1</v>
      </c>
    </row>
    <row r="13" customFormat="false" ht="15" hidden="false" customHeight="false" outlineLevel="0" collapsed="false">
      <c r="A13" s="20" t="s">
        <v>65</v>
      </c>
      <c r="B13" s="14" t="n">
        <f aca="false">COUNTIF(Backlog!F5:F14,"Blocked")</f>
        <v>0</v>
      </c>
    </row>
    <row r="14" customFormat="false" ht="15" hidden="false" customHeight="false" outlineLevel="0" collapsed="false">
      <c r="A14" s="6" t="s">
        <v>15</v>
      </c>
      <c r="B14" s="14" t="n">
        <f aca="false">COUNTIF(Backlog!F5:F14,"Verify")</f>
        <v>2</v>
      </c>
    </row>
    <row r="15" customFormat="false" ht="15" hidden="false" customHeight="false" outlineLevel="0" collapsed="false">
      <c r="A15" s="21" t="s">
        <v>66</v>
      </c>
      <c r="B15" s="14" t="n">
        <f aca="false">COUNTIF(Backlog!F5:F14,"Done")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2026-04-19T16:29:25Z</dcterms:created>
  <dc:creator>openpyxl</dc:creator>
  <dc:description/>
  <dc:language>en-US</dc:language>
  <cp:lastModifiedBy/>
  <dcterms:modified xsi:type="dcterms:W3CDTF">2026-04-19T16:29:25Z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